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4F738FC0-E22D-4643-BA04-17D9887EF8D8}" xr6:coauthVersionLast="47" xr6:coauthVersionMax="47" xr10:uidLastSave="{00000000-0000-0000-0000-000000000000}"/>
  <bookViews>
    <workbookView xWindow="-120" yWindow="-120" windowWidth="29040" windowHeight="15720" xr2:uid="{00FE9814-C3BC-4AB0-9864-472E9138B4C6}"/>
  </bookViews>
  <sheets>
    <sheet name="Sheet1" sheetId="1" r:id="rId1"/>
  </sheets>
  <definedNames>
    <definedName name="PayTerms" localSheetId="0">OFFSET(#REF!,0,0,COUNTA(#REF!)-1,1)</definedName>
    <definedName name="_xlnm.Print_Area" localSheetId="0">Sheet1!$A$1:$G$40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G18" i="1"/>
  <c r="G17" i="1"/>
  <c r="G16" i="1"/>
  <c r="G15" i="1"/>
  <c r="G14" i="1"/>
  <c r="G20" i="1" l="1"/>
</calcChain>
</file>

<file path=xl/sharedStrings.xml><?xml version="1.0" encoding="utf-8"?>
<sst xmlns="http://schemas.openxmlformats.org/spreadsheetml/2006/main" count="51" uniqueCount="50">
  <si>
    <t xml:space="preserve">Quotation </t>
  </si>
  <si>
    <t xml:space="preserve">Customer Name: </t>
  </si>
  <si>
    <t xml:space="preserve">Quotation Ref: </t>
  </si>
  <si>
    <t xml:space="preserve">Q-202601 </t>
  </si>
  <si>
    <t>Date</t>
  </si>
  <si>
    <t xml:space="preserve">Valid  Until </t>
  </si>
  <si>
    <t>ITEM</t>
  </si>
  <si>
    <t xml:space="preserve">ITEM </t>
  </si>
  <si>
    <t>QTY</t>
  </si>
  <si>
    <t>T.P
PESO</t>
  </si>
  <si>
    <t>DEYE Inverter 16kw (SUN-12k-SG02LP1-EU-AM3)</t>
  </si>
  <si>
    <t>Solar Panel - MONO 615w (CS6.2-66TB-615)</t>
  </si>
  <si>
    <t xml:space="preserve">SNRE LiPo4 Battery 51.2v  (314AH) </t>
  </si>
  <si>
    <t>Complete Safety Breakers/SPD</t>
  </si>
  <si>
    <t>1 SET</t>
  </si>
  <si>
    <t>Complete Mounting Fixutures</t>
  </si>
  <si>
    <t>Complete Installation</t>
  </si>
  <si>
    <t xml:space="preserve">1 JOB </t>
  </si>
  <si>
    <t xml:space="preserve">TOTAL PRICE IN PHILIPPINE PESO </t>
  </si>
  <si>
    <t>Technical Specifications</t>
  </si>
  <si>
    <t>Solar Panel Type</t>
  </si>
  <si>
    <t>Inverter Type</t>
  </si>
  <si>
    <t>Battery Type</t>
  </si>
  <si>
    <t>Warranty on Panels</t>
  </si>
  <si>
    <t>Warranty on Inverter</t>
  </si>
  <si>
    <t>Payment Terms</t>
  </si>
  <si>
    <t>: 40% Advance along with Work Order</t>
  </si>
  <si>
    <t>: 40% After Material Delivery</t>
  </si>
  <si>
    <t xml:space="preserve">: 20% After Installation &amp; Commissioning                                         </t>
  </si>
  <si>
    <t xml:space="preserve">Delivery &amp; Installation Timeline </t>
  </si>
  <si>
    <t>Material Delivery</t>
  </si>
  <si>
    <t>Installation Completion</t>
  </si>
  <si>
    <t>for SOLARES</t>
  </si>
  <si>
    <t>Workmanship Warranty</t>
  </si>
  <si>
    <t>SOLARES Energy Solutions</t>
  </si>
  <si>
    <t>Sumacab Norte, Cabanatuan City</t>
  </si>
  <si>
    <t>Nueva Ecija, 3100</t>
  </si>
  <si>
    <r>
      <rPr>
        <b/>
        <sz val="11"/>
        <color theme="1"/>
        <rFont val="Aptos Display"/>
        <family val="2"/>
        <scheme val="major"/>
      </rPr>
      <t>Email Address</t>
    </r>
    <r>
      <rPr>
        <sz val="11"/>
        <color theme="1"/>
        <rFont val="Aptos Display"/>
        <family val="2"/>
        <scheme val="major"/>
      </rPr>
      <t>:</t>
    </r>
    <r>
      <rPr>
        <sz val="11"/>
        <color rgb="FF0066FF"/>
        <rFont val="Aptos Display"/>
        <family val="2"/>
        <scheme val="major"/>
      </rPr>
      <t xml:space="preserve"> solares.energysolutions@gmail.com</t>
    </r>
  </si>
  <si>
    <r>
      <rPr>
        <b/>
        <sz val="11"/>
        <color theme="1"/>
        <rFont val="Aptos Display"/>
        <family val="2"/>
        <scheme val="major"/>
      </rPr>
      <t>Cellphone No.</t>
    </r>
    <r>
      <rPr>
        <sz val="11"/>
        <color theme="1"/>
        <rFont val="Aptos Display"/>
        <family val="2"/>
        <scheme val="major"/>
      </rPr>
      <t>: 0967-886-7909</t>
    </r>
  </si>
  <si>
    <t>Canadian Solar Panel  (CS6.2-66TB-615)</t>
  </si>
  <si>
    <t>DEYE HYBRID 16kw (S6-EH1P16k03-NV-YD-L)</t>
  </si>
  <si>
    <t>1 year</t>
  </si>
  <si>
    <t>U.P. 
PESO</t>
  </si>
  <si>
    <t>: Within 3 days of advance payment</t>
  </si>
  <si>
    <t>: 3-5 days from delivery</t>
  </si>
  <si>
    <t xml:space="preserve"> SNRE LiPo4 Battery 51.2v  (314AH) (UPGRADABLE)</t>
  </si>
  <si>
    <t>12 years</t>
  </si>
  <si>
    <t>5 years</t>
  </si>
  <si>
    <t>Note:</t>
  </si>
  <si>
    <t>This is a base computation for the proposed solar package. Battery capacity can be increased in the future by adding additional 314Ah batteries to optimize system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</si>
</sst>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₱&quot;* #,##0.00_-;\-&quot;₱&quot;* #,##0.00_-;_-&quot;₱&quot;* &quot;-&quot;??_-;_-@_-"/>
    <numFmt numFmtId="165" formatCode="[$-409]d\-mmm\-yy;@"/>
    <numFmt numFmtId="166" formatCode="###,###,##0.000"/>
    <numFmt numFmtId="167" formatCode="#,##0.00_ ;\-#,##0.00\ 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11"/>
      <color theme="1"/>
      <name val="Aptos Display"/>
      <family val="2"/>
      <scheme val="major"/>
    </font>
    <font>
      <sz val="10"/>
      <name val="Aptos Display"/>
      <family val="2"/>
      <scheme val="major"/>
    </font>
    <font>
      <sz val="12"/>
      <name val="Aptos Display"/>
      <family val="2"/>
      <scheme val="major"/>
    </font>
    <font>
      <b/>
      <sz val="12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name val="Aptos Display"/>
      <family val="2"/>
      <scheme val="major"/>
    </font>
    <font>
      <b/>
      <sz val="11"/>
      <name val="Aptos Display"/>
      <family val="2"/>
      <scheme val="major"/>
    </font>
    <font>
      <b/>
      <sz val="11"/>
      <color indexed="9"/>
      <name val="Aptos Display"/>
      <family val="2"/>
      <scheme val="major"/>
    </font>
    <font>
      <sz val="11"/>
      <color indexed="18"/>
      <name val="Aptos Display"/>
      <family val="2"/>
      <scheme val="major"/>
    </font>
    <font>
      <b/>
      <i/>
      <sz val="11"/>
      <name val="Aptos Display"/>
      <family val="2"/>
      <scheme val="major"/>
    </font>
    <font>
      <sz val="11"/>
      <color rgb="FF0066FF"/>
      <name val="Aptos Display"/>
      <family val="2"/>
      <scheme val="major"/>
    </font>
    <font>
      <b/>
      <sz val="20"/>
      <color theme="1"/>
      <name val="Aptos Display"/>
      <family val="2"/>
      <scheme val="major"/>
    </font>
    <font>
      <b/>
      <sz val="16"/>
      <name val="Aptos Display"/>
      <family val="2"/>
      <scheme val="major"/>
    </font>
    <font>
      <i/>
      <sz val="11"/>
      <name val="Aptos Narrow"/>
      <family val="2"/>
    </font>
    <font>
      <i/>
      <sz val="1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80">
    <xf numFmtId="0" fontId="0" fillId="0" borderId="0" xfId="0"/>
    <xf numFmtId="0" fontId="4" fillId="0" borderId="0" xfId="0" applyFont="1"/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4" fontId="7" fillId="5" borderId="3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166" fontId="9" fillId="0" borderId="3" xfId="0" applyNumberFormat="1" applyFont="1" applyBorder="1" applyAlignment="1">
      <alignment horizontal="center" vertical="center"/>
    </xf>
    <xf numFmtId="167" fontId="9" fillId="0" borderId="3" xfId="1" applyNumberFormat="1" applyFont="1" applyBorder="1" applyAlignment="1" applyProtection="1">
      <alignment horizontal="center" vertical="center" wrapText="1"/>
    </xf>
    <xf numFmtId="0" fontId="9" fillId="0" borderId="4" xfId="3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2" fillId="0" borderId="4" xfId="0" applyFont="1" applyBorder="1" applyAlignment="1">
      <alignment horizontal="left" vertical="center"/>
    </xf>
    <xf numFmtId="0" fontId="9" fillId="0" borderId="12" xfId="0" applyFont="1" applyBorder="1" applyAlignment="1">
      <alignment vertical="center"/>
    </xf>
    <xf numFmtId="0" fontId="10" fillId="0" borderId="3" xfId="3" applyFont="1" applyBorder="1" applyAlignment="1">
      <alignment vertical="center"/>
    </xf>
    <xf numFmtId="0" fontId="10" fillId="0" borderId="10" xfId="3" applyFont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9" fillId="0" borderId="7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8" fillId="6" borderId="9" xfId="0" applyFont="1" applyFill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7" fillId="5" borderId="3" xfId="0" applyFont="1" applyFill="1" applyBorder="1" applyAlignment="1">
      <alignment horizontal="right" vertical="center"/>
    </xf>
    <xf numFmtId="0" fontId="16" fillId="6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165" fontId="4" fillId="0" borderId="3" xfId="0" applyNumberFormat="1" applyFont="1" applyBorder="1" applyAlignment="1">
      <alignment horizontal="center" vertical="center"/>
    </xf>
    <xf numFmtId="0" fontId="10" fillId="2" borderId="3" xfId="0" applyFont="1" applyFill="1" applyBorder="1" applyAlignment="1">
      <alignment horizontal="left" vertical="center" wrapText="1"/>
    </xf>
    <xf numFmtId="0" fontId="8" fillId="0" borderId="3" xfId="2" applyFont="1" applyFill="1" applyBorder="1" applyAlignment="1" applyProtection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6" fillId="0" borderId="13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8" fillId="6" borderId="15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10" fillId="0" borderId="13" xfId="3" applyFont="1" applyBorder="1" applyAlignment="1">
      <alignment horizontal="center" vertical="center"/>
    </xf>
    <xf numFmtId="0" fontId="10" fillId="0" borderId="0" xfId="3" applyFont="1" applyBorder="1" applyAlignment="1">
      <alignment horizontal="center" vertical="center"/>
    </xf>
    <xf numFmtId="0" fontId="10" fillId="0" borderId="0" xfId="3" applyFont="1" applyBorder="1" applyAlignment="1">
      <alignment vertical="center"/>
    </xf>
    <xf numFmtId="0" fontId="9" fillId="0" borderId="0" xfId="3" applyFont="1" applyBorder="1" applyAlignment="1">
      <alignment vertical="center"/>
    </xf>
    <xf numFmtId="0" fontId="9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vertical="center"/>
    </xf>
    <xf numFmtId="0" fontId="12" fillId="0" borderId="0" xfId="0" applyFont="1" applyBorder="1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0" fontId="9" fillId="0" borderId="1" xfId="3" applyFont="1" applyBorder="1" applyAlignment="1">
      <alignment vertical="center"/>
    </xf>
    <xf numFmtId="0" fontId="12" fillId="0" borderId="2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18" fillId="0" borderId="13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left" vertical="center" wrapText="1"/>
    </xf>
    <xf numFmtId="0" fontId="9" fillId="4" borderId="13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vertical="center"/>
    </xf>
    <xf numFmtId="0" fontId="9" fillId="4" borderId="14" xfId="0" applyFont="1" applyFill="1" applyBorder="1" applyAlignment="1">
      <alignment vertical="center"/>
    </xf>
    <xf numFmtId="0" fontId="13" fillId="0" borderId="13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9" fillId="0" borderId="19" xfId="0" applyFont="1" applyBorder="1" applyAlignment="1">
      <alignment horizontal="center" vertical="center"/>
    </xf>
    <xf numFmtId="0" fontId="4" fillId="0" borderId="20" xfId="0" applyFont="1" applyBorder="1"/>
    <xf numFmtId="0" fontId="4" fillId="0" borderId="21" xfId="0" applyFont="1" applyBorder="1"/>
    <xf numFmtId="0" fontId="4" fillId="0" borderId="22" xfId="0" applyFont="1" applyBorder="1"/>
  </cellXfs>
  <cellStyles count="4">
    <cellStyle name="Currency" xfId="1" builtinId="4"/>
    <cellStyle name="Hyperlink" xfId="2" builtinId="8"/>
    <cellStyle name="Normal" xfId="0" builtinId="0"/>
    <cellStyle name="Normal 9" xfId="3" xr:uid="{3B7B292F-C04A-4029-A576-FE05B2628370}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53340</xdr:rowOff>
    </xdr:from>
    <xdr:to>
      <xdr:col>1</xdr:col>
      <xdr:colOff>838200</xdr:colOff>
      <xdr:row>6</xdr:row>
      <xdr:rowOff>167640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108142-FC9D-5572-93A7-8A3DCD9C3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53340"/>
          <a:ext cx="1339215" cy="1400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4877C-F97B-4A6F-BE1B-157322FD3A10}">
  <sheetPr>
    <pageSetUpPr fitToPage="1"/>
  </sheetPr>
  <dimension ref="A2:G47"/>
  <sheetViews>
    <sheetView showGridLines="0" tabSelected="1" topLeftCell="A9" zoomScaleNormal="100" workbookViewId="0">
      <selection activeCell="G43" sqref="A1:G43"/>
    </sheetView>
  </sheetViews>
  <sheetFormatPr defaultColWidth="8.85546875" defaultRowHeight="15" x14ac:dyDescent="0.25"/>
  <cols>
    <col min="1" max="1" width="9" style="1" bestFit="1" customWidth="1"/>
    <col min="2" max="2" width="14.28515625" style="1" customWidth="1"/>
    <col min="3" max="3" width="33.28515625" style="1" customWidth="1"/>
    <col min="4" max="5" width="8.85546875" style="1"/>
    <col min="6" max="6" width="13.28515625" style="1" bestFit="1" customWidth="1"/>
    <col min="7" max="7" width="13.140625" style="1" bestFit="1" customWidth="1"/>
    <col min="8" max="16384" width="8.85546875" style="1"/>
  </cols>
  <sheetData>
    <row r="2" spans="1:7" ht="26.25" x14ac:dyDescent="0.4">
      <c r="C2" s="26" t="s">
        <v>34</v>
      </c>
      <c r="D2" s="26"/>
      <c r="E2" s="26"/>
      <c r="F2" s="26"/>
      <c r="G2" s="26"/>
    </row>
    <row r="3" spans="1:7" x14ac:dyDescent="0.25">
      <c r="C3" s="1" t="s">
        <v>35</v>
      </c>
    </row>
    <row r="4" spans="1:7" x14ac:dyDescent="0.25">
      <c r="C4" s="1" t="s">
        <v>36</v>
      </c>
    </row>
    <row r="6" spans="1:7" x14ac:dyDescent="0.25">
      <c r="C6" s="1" t="s">
        <v>37</v>
      </c>
    </row>
    <row r="7" spans="1:7" s="2" customFormat="1" x14ac:dyDescent="0.25">
      <c r="C7" s="1" t="s">
        <v>38</v>
      </c>
    </row>
    <row r="8" spans="1:7" s="2" customFormat="1" ht="13.5" x14ac:dyDescent="0.25"/>
    <row r="9" spans="1:7" s="2" customFormat="1" ht="21" x14ac:dyDescent="0.25">
      <c r="A9" s="28" t="s">
        <v>0</v>
      </c>
      <c r="B9" s="28"/>
      <c r="C9" s="28"/>
      <c r="D9" s="28"/>
      <c r="E9" s="28"/>
      <c r="F9" s="28"/>
      <c r="G9" s="28"/>
    </row>
    <row r="10" spans="1:7" s="3" customFormat="1" ht="20.100000000000001" customHeight="1" x14ac:dyDescent="0.25">
      <c r="A10" s="29" t="s">
        <v>1</v>
      </c>
      <c r="B10" s="29"/>
      <c r="C10" s="29"/>
      <c r="D10" s="30" t="s">
        <v>2</v>
      </c>
      <c r="E10" s="30"/>
      <c r="F10" s="31" t="s">
        <v>3</v>
      </c>
      <c r="G10" s="31"/>
    </row>
    <row r="11" spans="1:7" s="3" customFormat="1" ht="20.100000000000001" customHeight="1" x14ac:dyDescent="0.25">
      <c r="A11" s="32"/>
      <c r="B11" s="32"/>
      <c r="C11" s="32"/>
      <c r="D11" s="30" t="s">
        <v>4</v>
      </c>
      <c r="E11" s="30"/>
      <c r="F11" s="33">
        <v>46082</v>
      </c>
      <c r="G11" s="33"/>
    </row>
    <row r="12" spans="1:7" s="3" customFormat="1" ht="18" customHeight="1" x14ac:dyDescent="0.25">
      <c r="A12" s="34"/>
      <c r="B12" s="34"/>
      <c r="C12" s="34"/>
      <c r="D12" s="35" t="s">
        <v>5</v>
      </c>
      <c r="E12" s="35"/>
      <c r="F12" s="33">
        <v>46233</v>
      </c>
      <c r="G12" s="33"/>
    </row>
    <row r="13" spans="1:7" s="4" customFormat="1" ht="32.450000000000003" customHeight="1" x14ac:dyDescent="0.25">
      <c r="A13" s="36" t="s">
        <v>6</v>
      </c>
      <c r="B13" s="37" t="s">
        <v>7</v>
      </c>
      <c r="C13" s="37"/>
      <c r="D13" s="38" t="s">
        <v>8</v>
      </c>
      <c r="E13" s="38"/>
      <c r="F13" s="39" t="s">
        <v>42</v>
      </c>
      <c r="G13" s="39" t="s">
        <v>9</v>
      </c>
    </row>
    <row r="14" spans="1:7" s="4" customFormat="1" ht="32.450000000000003" customHeight="1" x14ac:dyDescent="0.25">
      <c r="A14" s="7">
        <v>1</v>
      </c>
      <c r="B14" s="40" t="s">
        <v>10</v>
      </c>
      <c r="C14" s="40"/>
      <c r="D14" s="41">
        <v>1</v>
      </c>
      <c r="E14" s="41"/>
      <c r="F14" s="8">
        <v>110533</v>
      </c>
      <c r="G14" s="9">
        <f>D14*F14</f>
        <v>110533</v>
      </c>
    </row>
    <row r="15" spans="1:7" s="4" customFormat="1" ht="32.450000000000003" customHeight="1" x14ac:dyDescent="0.25">
      <c r="A15" s="7">
        <v>2</v>
      </c>
      <c r="B15" s="40" t="s">
        <v>11</v>
      </c>
      <c r="C15" s="40"/>
      <c r="D15" s="41">
        <v>27</v>
      </c>
      <c r="E15" s="41"/>
      <c r="F15" s="8">
        <v>4821</v>
      </c>
      <c r="G15" s="9">
        <f>D15*F15</f>
        <v>130167</v>
      </c>
    </row>
    <row r="16" spans="1:7" s="4" customFormat="1" ht="32.450000000000003" customHeight="1" x14ac:dyDescent="0.25">
      <c r="A16" s="7">
        <v>3</v>
      </c>
      <c r="B16" s="40" t="s">
        <v>12</v>
      </c>
      <c r="C16" s="40"/>
      <c r="D16" s="41">
        <v>1</v>
      </c>
      <c r="E16" s="41"/>
      <c r="F16" s="8">
        <v>95613</v>
      </c>
      <c r="G16" s="9">
        <f>D16*F16</f>
        <v>95613</v>
      </c>
    </row>
    <row r="17" spans="1:7" s="4" customFormat="1" ht="32.450000000000003" customHeight="1" x14ac:dyDescent="0.25">
      <c r="A17" s="7">
        <v>4</v>
      </c>
      <c r="B17" s="40" t="s">
        <v>13</v>
      </c>
      <c r="C17" s="40"/>
      <c r="D17" s="41" t="s">
        <v>14</v>
      </c>
      <c r="E17" s="41"/>
      <c r="F17" s="8">
        <v>42264</v>
      </c>
      <c r="G17" s="9">
        <f>F17</f>
        <v>42264</v>
      </c>
    </row>
    <row r="18" spans="1:7" s="4" customFormat="1" ht="32.450000000000003" customHeight="1" x14ac:dyDescent="0.25">
      <c r="A18" s="7">
        <v>5</v>
      </c>
      <c r="B18" s="40" t="s">
        <v>15</v>
      </c>
      <c r="C18" s="40"/>
      <c r="D18" s="41" t="s">
        <v>14</v>
      </c>
      <c r="E18" s="41"/>
      <c r="F18" s="8">
        <v>57825</v>
      </c>
      <c r="G18" s="9">
        <f>F18</f>
        <v>57825</v>
      </c>
    </row>
    <row r="19" spans="1:7" s="4" customFormat="1" ht="32.450000000000003" customHeight="1" x14ac:dyDescent="0.25">
      <c r="A19" s="7">
        <v>6</v>
      </c>
      <c r="B19" s="40" t="s">
        <v>16</v>
      </c>
      <c r="C19" s="40"/>
      <c r="D19" s="41" t="s">
        <v>17</v>
      </c>
      <c r="E19" s="41"/>
      <c r="F19" s="8">
        <v>143598</v>
      </c>
      <c r="G19" s="9">
        <f>F19</f>
        <v>143598</v>
      </c>
    </row>
    <row r="20" spans="1:7" s="6" customFormat="1" ht="32.450000000000003" customHeight="1" x14ac:dyDescent="0.25">
      <c r="A20" s="27" t="s">
        <v>18</v>
      </c>
      <c r="B20" s="27"/>
      <c r="C20" s="27"/>
      <c r="D20" s="27"/>
      <c r="E20" s="27"/>
      <c r="F20" s="27"/>
      <c r="G20" s="5">
        <f>SUM(G14:G19)</f>
        <v>580000</v>
      </c>
    </row>
    <row r="21" spans="1:7" s="6" customFormat="1" ht="21" customHeight="1" thickBot="1" x14ac:dyDescent="0.3">
      <c r="A21" s="42"/>
      <c r="B21" s="43"/>
      <c r="C21" s="43"/>
      <c r="D21" s="43"/>
      <c r="E21" s="43"/>
      <c r="F21" s="43"/>
      <c r="G21" s="44"/>
    </row>
    <row r="22" spans="1:7" s="3" customFormat="1" ht="18" customHeight="1" x14ac:dyDescent="0.25">
      <c r="A22" s="45" t="s">
        <v>19</v>
      </c>
      <c r="B22" s="25"/>
      <c r="C22" s="25"/>
      <c r="D22" s="25"/>
      <c r="E22" s="25"/>
      <c r="F22" s="25"/>
      <c r="G22" s="46"/>
    </row>
    <row r="23" spans="1:7" s="3" customFormat="1" ht="18" customHeight="1" x14ac:dyDescent="0.25">
      <c r="A23" s="20" t="s">
        <v>20</v>
      </c>
      <c r="B23" s="20"/>
      <c r="C23" s="21" t="s">
        <v>39</v>
      </c>
      <c r="D23" s="22"/>
      <c r="E23" s="22"/>
      <c r="F23" s="22"/>
      <c r="G23" s="47"/>
    </row>
    <row r="24" spans="1:7" s="3" customFormat="1" ht="18" customHeight="1" x14ac:dyDescent="0.25">
      <c r="A24" s="18" t="s">
        <v>21</v>
      </c>
      <c r="B24" s="18"/>
      <c r="C24" s="21" t="s">
        <v>40</v>
      </c>
      <c r="D24" s="22"/>
      <c r="E24" s="22"/>
      <c r="F24" s="22"/>
      <c r="G24" s="47"/>
    </row>
    <row r="25" spans="1:7" s="3" customFormat="1" ht="18" customHeight="1" x14ac:dyDescent="0.25">
      <c r="A25" s="18" t="s">
        <v>22</v>
      </c>
      <c r="B25" s="18"/>
      <c r="C25" s="21" t="s">
        <v>45</v>
      </c>
      <c r="D25" s="22"/>
      <c r="E25" s="22"/>
      <c r="F25" s="22"/>
      <c r="G25" s="47"/>
    </row>
    <row r="26" spans="1:7" s="3" customFormat="1" ht="18" customHeight="1" x14ac:dyDescent="0.25">
      <c r="A26" s="15" t="s">
        <v>23</v>
      </c>
      <c r="B26" s="15"/>
      <c r="C26" s="21" t="s">
        <v>46</v>
      </c>
      <c r="D26" s="22"/>
      <c r="E26" s="22"/>
      <c r="F26" s="22"/>
      <c r="G26" s="47"/>
    </row>
    <row r="27" spans="1:7" s="3" customFormat="1" ht="18" customHeight="1" x14ac:dyDescent="0.25">
      <c r="A27" s="15" t="s">
        <v>24</v>
      </c>
      <c r="B27" s="15"/>
      <c r="C27" s="21" t="s">
        <v>47</v>
      </c>
      <c r="D27" s="22"/>
      <c r="E27" s="22"/>
      <c r="F27" s="22"/>
      <c r="G27" s="47"/>
    </row>
    <row r="28" spans="1:7" s="3" customFormat="1" ht="18" customHeight="1" thickBot="1" x14ac:dyDescent="0.3">
      <c r="A28" s="16" t="s">
        <v>33</v>
      </c>
      <c r="B28" s="16"/>
      <c r="C28" s="23" t="s">
        <v>41</v>
      </c>
      <c r="D28" s="24"/>
      <c r="E28" s="24"/>
      <c r="F28" s="24"/>
      <c r="G28" s="48"/>
    </row>
    <row r="29" spans="1:7" s="3" customFormat="1" ht="18" customHeight="1" thickBot="1" x14ac:dyDescent="0.3">
      <c r="A29" s="49"/>
      <c r="B29" s="50"/>
      <c r="C29" s="50"/>
      <c r="D29" s="51"/>
      <c r="E29" s="51"/>
      <c r="F29" s="52"/>
      <c r="G29" s="53"/>
    </row>
    <row r="30" spans="1:7" s="3" customFormat="1" ht="18" customHeight="1" x14ac:dyDescent="0.25">
      <c r="A30" s="45" t="s">
        <v>29</v>
      </c>
      <c r="B30" s="25"/>
      <c r="C30" s="25"/>
      <c r="D30" s="25"/>
      <c r="E30" s="25"/>
      <c r="F30" s="25"/>
      <c r="G30" s="46"/>
    </row>
    <row r="31" spans="1:7" s="3" customFormat="1" ht="18" customHeight="1" x14ac:dyDescent="0.25">
      <c r="A31" s="18" t="s">
        <v>30</v>
      </c>
      <c r="B31" s="18"/>
      <c r="C31" s="21" t="s">
        <v>43</v>
      </c>
      <c r="D31" s="22"/>
      <c r="E31" s="22"/>
      <c r="F31" s="22"/>
      <c r="G31" s="47"/>
    </row>
    <row r="32" spans="1:7" s="3" customFormat="1" ht="18" customHeight="1" thickBot="1" x14ac:dyDescent="0.3">
      <c r="A32" s="19" t="s">
        <v>31</v>
      </c>
      <c r="B32" s="19"/>
      <c r="C32" s="23" t="s">
        <v>44</v>
      </c>
      <c r="D32" s="24"/>
      <c r="E32" s="24"/>
      <c r="F32" s="24"/>
      <c r="G32" s="48"/>
    </row>
    <row r="33" spans="1:7" s="3" customFormat="1" ht="18" customHeight="1" thickBot="1" x14ac:dyDescent="0.3">
      <c r="A33" s="54"/>
      <c r="B33" s="55"/>
      <c r="C33" s="56"/>
      <c r="D33" s="57"/>
      <c r="E33" s="57"/>
      <c r="F33" s="57"/>
      <c r="G33" s="58"/>
    </row>
    <row r="34" spans="1:7" s="3" customFormat="1" ht="18" customHeight="1" x14ac:dyDescent="0.25">
      <c r="A34" s="45" t="s">
        <v>25</v>
      </c>
      <c r="B34" s="25"/>
      <c r="C34" s="25"/>
      <c r="D34" s="25"/>
      <c r="E34" s="25"/>
      <c r="F34" s="25"/>
      <c r="G34" s="46"/>
    </row>
    <row r="35" spans="1:7" s="3" customFormat="1" ht="18" customHeight="1" x14ac:dyDescent="0.25">
      <c r="A35" s="59" t="s">
        <v>26</v>
      </c>
      <c r="B35" s="10"/>
      <c r="C35" s="10"/>
      <c r="D35" s="11"/>
      <c r="E35" s="11"/>
      <c r="F35" s="11"/>
      <c r="G35" s="60"/>
    </row>
    <row r="36" spans="1:7" s="3" customFormat="1" ht="18" customHeight="1" x14ac:dyDescent="0.25">
      <c r="A36" s="61" t="s">
        <v>27</v>
      </c>
      <c r="B36" s="11"/>
      <c r="C36" s="11"/>
      <c r="D36" s="12"/>
      <c r="E36" s="13"/>
      <c r="F36" s="13"/>
      <c r="G36" s="60"/>
    </row>
    <row r="37" spans="1:7" s="3" customFormat="1" ht="18" customHeight="1" thickBot="1" x14ac:dyDescent="0.3">
      <c r="A37" s="62" t="s">
        <v>28</v>
      </c>
      <c r="B37" s="14"/>
      <c r="C37" s="14"/>
      <c r="D37" s="14"/>
      <c r="E37" s="14"/>
      <c r="F37" s="14"/>
      <c r="G37" s="63"/>
    </row>
    <row r="38" spans="1:7" s="3" customFormat="1" ht="18" customHeight="1" x14ac:dyDescent="0.25">
      <c r="A38" s="64" t="s">
        <v>48</v>
      </c>
      <c r="B38" s="56"/>
      <c r="C38" s="56"/>
      <c r="D38" s="56"/>
      <c r="E38" s="56"/>
      <c r="F38" s="56"/>
      <c r="G38" s="65"/>
    </row>
    <row r="39" spans="1:7" s="3" customFormat="1" ht="18" customHeight="1" x14ac:dyDescent="0.25">
      <c r="A39" s="66" t="s">
        <v>49</v>
      </c>
      <c r="B39" s="67"/>
      <c r="C39" s="67"/>
      <c r="D39" s="67"/>
      <c r="E39" s="67"/>
      <c r="F39" s="67"/>
      <c r="G39" s="68"/>
    </row>
    <row r="40" spans="1:7" s="3" customFormat="1" ht="18" customHeight="1" x14ac:dyDescent="0.25">
      <c r="A40" s="69"/>
      <c r="B40" s="67"/>
      <c r="C40" s="67"/>
      <c r="D40" s="67"/>
      <c r="E40" s="67"/>
      <c r="F40" s="67"/>
      <c r="G40" s="68"/>
    </row>
    <row r="41" spans="1:7" s="3" customFormat="1" ht="18" customHeight="1" x14ac:dyDescent="0.25">
      <c r="A41" s="70"/>
      <c r="B41" s="71"/>
      <c r="C41" s="71"/>
      <c r="D41" s="72"/>
      <c r="E41" s="72"/>
      <c r="F41" s="72"/>
      <c r="G41" s="73"/>
    </row>
    <row r="42" spans="1:7" s="3" customFormat="1" ht="18" customHeight="1" x14ac:dyDescent="0.25">
      <c r="A42" s="74"/>
      <c r="B42" s="75"/>
      <c r="C42" s="56"/>
      <c r="D42" s="56"/>
      <c r="E42" s="56"/>
      <c r="F42" s="17" t="s">
        <v>32</v>
      </c>
      <c r="G42" s="76"/>
    </row>
    <row r="43" spans="1:7" s="3" customFormat="1" ht="18" customHeight="1" x14ac:dyDescent="0.25">
      <c r="A43" s="77"/>
      <c r="B43" s="78"/>
      <c r="C43" s="78"/>
      <c r="D43" s="78"/>
      <c r="E43" s="78"/>
      <c r="F43" s="78"/>
      <c r="G43" s="79"/>
    </row>
    <row r="44" spans="1:7" s="3" customFormat="1" ht="18" customHeight="1" x14ac:dyDescent="0.25">
      <c r="A44" s="1"/>
      <c r="B44" s="1"/>
      <c r="C44" s="1"/>
      <c r="D44" s="1"/>
      <c r="E44" s="1"/>
      <c r="F44" s="1"/>
      <c r="G44" s="1"/>
    </row>
    <row r="45" spans="1:7" s="3" customFormat="1" ht="12" customHeight="1" x14ac:dyDescent="0.25">
      <c r="A45" s="1"/>
      <c r="B45" s="1"/>
      <c r="C45" s="1"/>
      <c r="D45" s="1"/>
      <c r="E45" s="1"/>
      <c r="F45" s="1"/>
      <c r="G45" s="1"/>
    </row>
    <row r="46" spans="1:7" s="3" customFormat="1" ht="3.75" customHeight="1" x14ac:dyDescent="0.25">
      <c r="A46" s="1"/>
      <c r="B46" s="1"/>
      <c r="C46" s="1"/>
      <c r="D46" s="1"/>
      <c r="E46" s="1"/>
      <c r="F46" s="1"/>
      <c r="G46" s="1"/>
    </row>
    <row r="47" spans="1:7" s="3" customFormat="1" x14ac:dyDescent="0.25">
      <c r="A47" s="1"/>
      <c r="B47" s="1"/>
      <c r="C47" s="1"/>
      <c r="D47" s="1"/>
      <c r="E47" s="1"/>
      <c r="F47" s="1"/>
      <c r="G47" s="1"/>
    </row>
  </sheetData>
  <mergeCells count="46">
    <mergeCell ref="C2:G2"/>
    <mergeCell ref="A22:G22"/>
    <mergeCell ref="C23:G23"/>
    <mergeCell ref="C24:G24"/>
    <mergeCell ref="C25:G25"/>
    <mergeCell ref="B18:C18"/>
    <mergeCell ref="D18:E18"/>
    <mergeCell ref="B19:C19"/>
    <mergeCell ref="D19:E19"/>
    <mergeCell ref="A20:F20"/>
    <mergeCell ref="B15:C15"/>
    <mergeCell ref="D15:E15"/>
    <mergeCell ref="A42:B42"/>
    <mergeCell ref="A30:G30"/>
    <mergeCell ref="C31:G31"/>
    <mergeCell ref="C32:G32"/>
    <mergeCell ref="A34:G34"/>
    <mergeCell ref="F42:G42"/>
    <mergeCell ref="A31:B31"/>
    <mergeCell ref="A32:B32"/>
    <mergeCell ref="A23:B23"/>
    <mergeCell ref="A24:B24"/>
    <mergeCell ref="A25:B25"/>
    <mergeCell ref="A29:C29"/>
    <mergeCell ref="C26:G26"/>
    <mergeCell ref="C27:G27"/>
    <mergeCell ref="C28:G28"/>
    <mergeCell ref="A39:G40"/>
    <mergeCell ref="B16:C16"/>
    <mergeCell ref="D16:E16"/>
    <mergeCell ref="B17:C17"/>
    <mergeCell ref="D17:E17"/>
    <mergeCell ref="A12:C12"/>
    <mergeCell ref="D12:E12"/>
    <mergeCell ref="F12:G12"/>
    <mergeCell ref="B13:C13"/>
    <mergeCell ref="D13:E13"/>
    <mergeCell ref="B14:C14"/>
    <mergeCell ref="D14:E14"/>
    <mergeCell ref="A9:G9"/>
    <mergeCell ref="A10:C10"/>
    <mergeCell ref="D10:E10"/>
    <mergeCell ref="F10:G10"/>
    <mergeCell ref="A11:C11"/>
    <mergeCell ref="D11:E11"/>
    <mergeCell ref="F11:G11"/>
  </mergeCells>
  <dataValidations count="1">
    <dataValidation type="list" allowBlank="1" showInputMessage="1" showErrorMessage="1" sqref="F12:G12 JB12:JC12 SX12:SY12 ACT12:ACU12 AMP12:AMQ12 AWL12:AWM12 BGH12:BGI12 BQD12:BQE12 BZZ12:CAA12 CJV12:CJW12 CTR12:CTS12 DDN12:DDO12 DNJ12:DNK12 DXF12:DXG12 EHB12:EHC12 EQX12:EQY12 FAT12:FAU12 FKP12:FKQ12 FUL12:FUM12 GEH12:GEI12 GOD12:GOE12 GXZ12:GYA12 HHV12:HHW12 HRR12:HRS12 IBN12:IBO12 ILJ12:ILK12 IVF12:IVG12 JFB12:JFC12 JOX12:JOY12 JYT12:JYU12 KIP12:KIQ12 KSL12:KSM12 LCH12:LCI12 LMD12:LME12 LVZ12:LWA12 MFV12:MFW12 MPR12:MPS12 MZN12:MZO12 NJJ12:NJK12 NTF12:NTG12 ODB12:ODC12 OMX12:OMY12 OWT12:OWU12 PGP12:PGQ12 PQL12:PQM12 QAH12:QAI12 QKD12:QKE12 QTZ12:QUA12 RDV12:RDW12 RNR12:RNS12 RXN12:RXO12 SHJ12:SHK12 SRF12:SRG12 TBB12:TBC12 TKX12:TKY12 TUT12:TUU12 UEP12:UEQ12 UOL12:UOM12 UYH12:UYI12 VID12:VIE12 VRZ12:VSA12 WBV12:WBW12 WLR12:WLS12 WVN12:WVO12" xr:uid="{7D234D93-6983-4AF5-890D-8C85ADAB3412}">
      <formula1>PayTerms</formula1>
    </dataValidation>
  </dataValidations>
  <pageMargins left="0.3" right="0.25" top="0.75" bottom="0.75" header="0.3" footer="0.3"/>
  <pageSetup paperSize="5" fitToHeight="0" orientation="portrait" copies="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Rye Neil</dc:creator>
  <cp:lastModifiedBy>Mjr Enrile</cp:lastModifiedBy>
  <cp:lastPrinted>2026-03-02T10:41:39Z</cp:lastPrinted>
  <dcterms:created xsi:type="dcterms:W3CDTF">2026-03-02T07:39:35Z</dcterms:created>
  <dcterms:modified xsi:type="dcterms:W3CDTF">2026-03-02T11:39:55Z</dcterms:modified>
</cp:coreProperties>
</file>